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than/Documents/Ventures/Hemrek Capital/Investment/ETF/Samhita/"/>
    </mc:Choice>
  </mc:AlternateContent>
  <xr:revisionPtr revIDLastSave="0" documentId="13_ncr:1_{55649C8E-56D8-4649-A36D-753529B57ACF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Manthan" sheetId="2" r:id="rId1"/>
  </sheets>
  <externalReferences>
    <externalReference r:id="rId2"/>
    <externalReference r:id="rId3"/>
  </externalReferences>
  <definedNames>
    <definedName name="_xlnm._FilterDatabase" localSheetId="0" hidden="1">Manthan!$B$1:$F$31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2" i="2"/>
</calcChain>
</file>

<file path=xl/sharedStrings.xml><?xml version="1.0" encoding="utf-8"?>
<sst xmlns="http://schemas.openxmlformats.org/spreadsheetml/2006/main" count="66" uniqueCount="66">
  <si>
    <t>CPSE ETF</t>
  </si>
  <si>
    <t>Edelweiss BSE Capital Markets &amp; Insurance ETF</t>
  </si>
  <si>
    <t>ICICI Prudential BSE Sensex ETF</t>
  </si>
  <si>
    <t>ICICI Prudential Nifty 50 ETF</t>
  </si>
  <si>
    <t>ICICI Prudential Nifty Auto ETF</t>
  </si>
  <si>
    <t>ICICI Prudential Nifty Bank ETF</t>
  </si>
  <si>
    <t>ICICI Prudential Nifty Commodities ETF</t>
  </si>
  <si>
    <t>ICICI Prudential Nifty Consumption ETF</t>
  </si>
  <si>
    <t>ICICI Prudential Nifty Financial Serv. Ex-Bank ETF</t>
  </si>
  <si>
    <t>ICICI Prudential Nifty FMCG ETF</t>
  </si>
  <si>
    <t>ICICI Prudential Nifty Healthcare ETF</t>
  </si>
  <si>
    <t>ICICI Prudential Nifty Infrastructure ETF</t>
  </si>
  <si>
    <t>ICICI Prudential Nifty IT ETF</t>
  </si>
  <si>
    <t>ICICI Prudential Nifty Metal ETF</t>
  </si>
  <si>
    <t>ICICI Prudential Nifty Midcap 150 ETF</t>
  </si>
  <si>
    <t>ICICI Prudential Nifty Oil &amp; Gas ETF</t>
  </si>
  <si>
    <t>ICICI Prudential Nifty Private Bank ETF</t>
  </si>
  <si>
    <t>ICICI Prudential Nifty PSU Bank ETF</t>
  </si>
  <si>
    <t>ICICI Prudential Silver ETF</t>
  </si>
  <si>
    <t>Kotak Nifty MNC ETF</t>
  </si>
  <si>
    <t>Mirae Asset Nifty EV and New Age Automotive ETF</t>
  </si>
  <si>
    <t>Mirae Asset Nifty India Manufacturing ETF</t>
  </si>
  <si>
    <t>Mirae Asset S&amp;P 500 Top 50 ETF</t>
  </si>
  <si>
    <t>Motilal Oswal MOSt Shares NASDAQ-100 ETF</t>
  </si>
  <si>
    <t>Motilal Oswal Nifty 500 ETF</t>
  </si>
  <si>
    <t>Motilal Oswal Nifty India Defence ETF</t>
  </si>
  <si>
    <t>Motilal Oswal Nifty Realty ETF</t>
  </si>
  <si>
    <t>Motilal Oswal Nifty Smallcap 250</t>
  </si>
  <si>
    <t>Tata Nifty India Digital ETF</t>
  </si>
  <si>
    <t>SR. NO.</t>
  </si>
  <si>
    <t>ASSET NAME</t>
  </si>
  <si>
    <t>QUANTITY</t>
  </si>
  <si>
    <t>SYMBOL</t>
  </si>
  <si>
    <t>PSUBNKIETF</t>
  </si>
  <si>
    <t>AUTOIETF</t>
  </si>
  <si>
    <t>BANKIETF</t>
  </si>
  <si>
    <t>SENSEXIETF</t>
  </si>
  <si>
    <t>FMCGIETF</t>
  </si>
  <si>
    <t>INFRAIETF</t>
  </si>
  <si>
    <t>COMMOIETF</t>
  </si>
  <si>
    <t>METALIETF</t>
  </si>
  <si>
    <t>MIDCAPIETF</t>
  </si>
  <si>
    <t>CONSUMIETF</t>
  </si>
  <si>
    <t>FINIETF</t>
  </si>
  <si>
    <t>PVTBANIETF</t>
  </si>
  <si>
    <t>MNC</t>
  </si>
  <si>
    <t>MAKEINDIA</t>
  </si>
  <si>
    <t>MONIFTY500</t>
  </si>
  <si>
    <t>NIFTYIETF</t>
  </si>
  <si>
    <t>TNIDETF</t>
  </si>
  <si>
    <t>MOREALTY</t>
  </si>
  <si>
    <t>EVINDIA</t>
  </si>
  <si>
    <t>MODEFENCE</t>
  </si>
  <si>
    <t>OILIETF</t>
  </si>
  <si>
    <t>MOSMALL250</t>
  </si>
  <si>
    <t>HEALTHIETF</t>
  </si>
  <si>
    <t>ITIETF</t>
  </si>
  <si>
    <t>MON100</t>
  </si>
  <si>
    <t>ECAPINSURE</t>
  </si>
  <si>
    <t>MASPTOP50</t>
  </si>
  <si>
    <t>SILVERIETF</t>
  </si>
  <si>
    <t>GOLDIETF</t>
  </si>
  <si>
    <t>ICICI Prudential Gold ETF</t>
  </si>
  <si>
    <t>CURRENT PRICE</t>
  </si>
  <si>
    <t>AVERAGE PRICE</t>
  </si>
  <si>
    <t>CPSEETF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</si>
</sst>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cuments/Ventures/Hemrek%20Capital/Investment/ETF/Patel_Hemang%20Patel%20Family_Portfolio%20Summary%20Report.xlsx" TargetMode="External"/><Relationship Id="rId1" Type="http://schemas.openxmlformats.org/officeDocument/2006/relationships/externalLinkPath" Target="/Users/manthan/Documents/Ventures/Hemrek%20Capital/Investment/ETF/Patel_Hemang%20Patel%20Family_Portfolio%20Summary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cuments/Ventures/Hemrek%20Capital/Investment/ETF/watchlist_1219562.xlsx" TargetMode="External"/><Relationship Id="rId1" Type="http://schemas.openxmlformats.org/officeDocument/2006/relationships/externalLinkPath" Target="/Users/manthan/Documents/Ventures/Hemrek%20Capital/Investment/ETF/watchlist_121956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folio Summary Report"/>
    </sheetNames>
    <sheetDataSet>
      <sheetData sheetId="0">
        <row r="14">
          <cell r="B14" t="str">
            <v>Allcargo Logistics</v>
          </cell>
          <cell r="C14">
            <v>501</v>
          </cell>
          <cell r="D14">
            <v>60.14</v>
          </cell>
        </row>
        <row r="15">
          <cell r="B15" t="str">
            <v>Baid Finserv</v>
          </cell>
          <cell r="C15">
            <v>1500</v>
          </cell>
          <cell r="D15">
            <v>14.83</v>
          </cell>
        </row>
        <row r="16">
          <cell r="B16" t="str">
            <v>Bandhan Bank</v>
          </cell>
          <cell r="C16">
            <v>315</v>
          </cell>
          <cell r="D16">
            <v>183.23</v>
          </cell>
        </row>
        <row r="17">
          <cell r="B17" t="str">
            <v>CPSE ETF</v>
          </cell>
          <cell r="C17">
            <v>350</v>
          </cell>
          <cell r="D17">
            <v>83.77</v>
          </cell>
        </row>
        <row r="18">
          <cell r="B18" t="str">
            <v>Edelweiss BSE Capital Markets &amp; Insurance ETF</v>
          </cell>
          <cell r="C18">
            <v>922</v>
          </cell>
          <cell r="D18">
            <v>21.46</v>
          </cell>
        </row>
        <row r="19">
          <cell r="B19" t="str">
            <v>ESAF Small Finance Bank</v>
          </cell>
          <cell r="C19">
            <v>4648</v>
          </cell>
          <cell r="D19">
            <v>47.86</v>
          </cell>
        </row>
        <row r="20">
          <cell r="B20" t="str">
            <v>ICICI Bank</v>
          </cell>
          <cell r="C20">
            <v>180</v>
          </cell>
          <cell r="D20">
            <v>355.6</v>
          </cell>
        </row>
        <row r="21">
          <cell r="B21" t="str">
            <v>ICICI Prudential BSE Sensex ETF</v>
          </cell>
          <cell r="C21">
            <v>43</v>
          </cell>
          <cell r="D21">
            <v>868.84</v>
          </cell>
        </row>
        <row r="22">
          <cell r="B22" t="str">
            <v>ICICI Prudential Gold ETF</v>
          </cell>
          <cell r="C22">
            <v>114</v>
          </cell>
          <cell r="D22">
            <v>84.69</v>
          </cell>
        </row>
        <row r="23">
          <cell r="B23" t="str">
            <v>ICICI Prudential Nifty 50 ETF</v>
          </cell>
          <cell r="C23">
            <v>129</v>
          </cell>
          <cell r="D23">
            <v>261.92</v>
          </cell>
        </row>
        <row r="24">
          <cell r="B24" t="str">
            <v>ICICI Prudential Nifty Auto ETF</v>
          </cell>
          <cell r="C24">
            <v>2310</v>
          </cell>
          <cell r="D24">
            <v>22.6</v>
          </cell>
        </row>
        <row r="25">
          <cell r="B25" t="str">
            <v>ICICI Prudential Nifty Bank ETF</v>
          </cell>
          <cell r="C25">
            <v>795</v>
          </cell>
          <cell r="D25">
            <v>51.43</v>
          </cell>
        </row>
        <row r="26">
          <cell r="B26" t="str">
            <v>ICICI Prudential Nifty Commodities ETF</v>
          </cell>
          <cell r="C26">
            <v>480</v>
          </cell>
          <cell r="D26">
            <v>80.8</v>
          </cell>
        </row>
        <row r="27">
          <cell r="B27" t="str">
            <v>ICICI Prudential Nifty Consumption ETF</v>
          </cell>
          <cell r="C27">
            <v>355</v>
          </cell>
          <cell r="D27">
            <v>112.89</v>
          </cell>
        </row>
        <row r="28">
          <cell r="B28" t="str">
            <v>ICICI Prudential Nifty Financial Serv. Ex-Bank ETF</v>
          </cell>
          <cell r="C28">
            <v>1568</v>
          </cell>
          <cell r="D28">
            <v>25.92</v>
          </cell>
        </row>
        <row r="29">
          <cell r="B29" t="str">
            <v>ICICI Prudential Nifty FMCG ETF</v>
          </cell>
          <cell r="C29">
            <v>387</v>
          </cell>
          <cell r="D29">
            <v>56.9</v>
          </cell>
        </row>
        <row r="30">
          <cell r="B30" t="str">
            <v>ICICI Prudential Nifty Healthcare ETF</v>
          </cell>
          <cell r="C30">
            <v>133</v>
          </cell>
          <cell r="D30">
            <v>138.41999999999999</v>
          </cell>
        </row>
        <row r="31">
          <cell r="B31" t="str">
            <v>ICICI Prudential Nifty Infrastructure ETF</v>
          </cell>
          <cell r="C31">
            <v>504</v>
          </cell>
          <cell r="D31">
            <v>85.73</v>
          </cell>
        </row>
        <row r="32">
          <cell r="B32" t="str">
            <v>ICICI Prudential Nifty IT ETF</v>
          </cell>
          <cell r="C32">
            <v>989</v>
          </cell>
          <cell r="D32">
            <v>38.26</v>
          </cell>
        </row>
        <row r="33">
          <cell r="B33" t="str">
            <v>ICICI Prudential Nifty Metal ETF</v>
          </cell>
          <cell r="C33">
            <v>2116</v>
          </cell>
          <cell r="D33">
            <v>9.07</v>
          </cell>
        </row>
        <row r="34">
          <cell r="B34" t="str">
            <v>ICICI Prudential Nifty Midcap 150 ETF</v>
          </cell>
          <cell r="C34">
            <v>2148</v>
          </cell>
          <cell r="D34">
            <v>20.07</v>
          </cell>
        </row>
        <row r="35">
          <cell r="B35" t="str">
            <v>ICICI Prudential Nifty Oil &amp; Gas ETF</v>
          </cell>
          <cell r="C35">
            <v>3401</v>
          </cell>
          <cell r="D35">
            <v>10.87</v>
          </cell>
        </row>
        <row r="36">
          <cell r="B36" t="str">
            <v>ICICI Prudential Nifty Private Bank ETF</v>
          </cell>
          <cell r="C36">
            <v>1719</v>
          </cell>
          <cell r="D36">
            <v>25.27</v>
          </cell>
        </row>
        <row r="37">
          <cell r="B37" t="str">
            <v>ICICI Prudential Nifty PSU Bank ETF</v>
          </cell>
          <cell r="C37">
            <v>671</v>
          </cell>
          <cell r="D37">
            <v>62.6</v>
          </cell>
        </row>
        <row r="38">
          <cell r="B38" t="str">
            <v>ICICI Prudential Silver ETF</v>
          </cell>
          <cell r="C38">
            <v>103</v>
          </cell>
          <cell r="D38">
            <v>103.31</v>
          </cell>
        </row>
        <row r="39">
          <cell r="B39" t="str">
            <v>Indian Railway Finance Corporation</v>
          </cell>
          <cell r="C39">
            <v>2000</v>
          </cell>
          <cell r="D39">
            <v>25.38</v>
          </cell>
        </row>
        <row r="40">
          <cell r="B40" t="str">
            <v>Kotak Nifty MNC ETF</v>
          </cell>
          <cell r="C40">
            <v>1988</v>
          </cell>
          <cell r="D40">
            <v>27.37</v>
          </cell>
        </row>
        <row r="41">
          <cell r="B41" t="str">
            <v>Kotak Nifty PSU Bank ETF</v>
          </cell>
          <cell r="C41">
            <v>11</v>
          </cell>
          <cell r="D41">
            <v>672.24</v>
          </cell>
        </row>
        <row r="42">
          <cell r="B42" t="str">
            <v>Life Insurance Corporation of India (LIC)</v>
          </cell>
          <cell r="C42">
            <v>15</v>
          </cell>
          <cell r="D42">
            <v>949</v>
          </cell>
        </row>
        <row r="43">
          <cell r="B43" t="str">
            <v>Mirae Asset Nifty EV and New Age Automotive ETF</v>
          </cell>
          <cell r="C43">
            <v>1359</v>
          </cell>
          <cell r="D43">
            <v>27.37</v>
          </cell>
        </row>
        <row r="44">
          <cell r="B44" t="str">
            <v>Mirae Asset Nifty India Manufacturing ETF</v>
          </cell>
          <cell r="C44">
            <v>252</v>
          </cell>
          <cell r="D44">
            <v>131.75</v>
          </cell>
        </row>
        <row r="45">
          <cell r="B45" t="str">
            <v>Mirae Asset Nifty Midcap 150 ETF</v>
          </cell>
          <cell r="C45">
            <v>128</v>
          </cell>
          <cell r="D45">
            <v>19.809999999999999</v>
          </cell>
        </row>
        <row r="46">
          <cell r="B46" t="str">
            <v>Mirae Asset S&amp;P 500 Top 50 ETF</v>
          </cell>
          <cell r="C46">
            <v>385</v>
          </cell>
          <cell r="D46">
            <v>49.51</v>
          </cell>
        </row>
        <row r="47">
          <cell r="B47" t="str">
            <v>Motherson Sumi Wiring India</v>
          </cell>
          <cell r="C47">
            <v>237</v>
          </cell>
          <cell r="D47">
            <v>9.1199999999999992</v>
          </cell>
        </row>
        <row r="48">
          <cell r="B48" t="str">
            <v>Motilal Oswal MOSt Shares NASDAQ-100 ETF</v>
          </cell>
          <cell r="C48">
            <v>220</v>
          </cell>
          <cell r="D48">
            <v>174.53</v>
          </cell>
        </row>
        <row r="49">
          <cell r="B49" t="str">
            <v>Motilal Oswal Nifty 100 ETF</v>
          </cell>
          <cell r="C49">
            <v>36</v>
          </cell>
          <cell r="D49">
            <v>26.68</v>
          </cell>
        </row>
        <row r="50">
          <cell r="B50" t="str">
            <v>Motilal Oswal Nifty 500 ETF</v>
          </cell>
          <cell r="C50">
            <v>1679</v>
          </cell>
          <cell r="D50">
            <v>22</v>
          </cell>
        </row>
        <row r="51">
          <cell r="B51" t="str">
            <v>Motilal Oswal Nifty India Defence ETF</v>
          </cell>
          <cell r="C51">
            <v>314</v>
          </cell>
          <cell r="D51">
            <v>69.650000000000006</v>
          </cell>
        </row>
        <row r="52">
          <cell r="B52" t="str">
            <v>Motilal Oswal Nifty Realty ETF</v>
          </cell>
          <cell r="C52">
            <v>383</v>
          </cell>
          <cell r="D52">
            <v>85.75</v>
          </cell>
        </row>
        <row r="53">
          <cell r="B53" t="str">
            <v>Motilal Oswal Nifty Smallcap 250</v>
          </cell>
          <cell r="C53">
            <v>1649</v>
          </cell>
          <cell r="D53">
            <v>15.62</v>
          </cell>
        </row>
        <row r="54">
          <cell r="B54" t="str">
            <v>Nippon India NIFTY Pharma ETF Growth Plan</v>
          </cell>
          <cell r="C54">
            <v>50</v>
          </cell>
          <cell r="D54">
            <v>21.39</v>
          </cell>
        </row>
        <row r="55">
          <cell r="B55" t="str">
            <v>Olectra Greentech</v>
          </cell>
          <cell r="C55">
            <v>200</v>
          </cell>
          <cell r="D55">
            <v>134.61000000000001</v>
          </cell>
        </row>
        <row r="56">
          <cell r="B56" t="str">
            <v>ONGC Limited</v>
          </cell>
          <cell r="C56">
            <v>276</v>
          </cell>
          <cell r="D56">
            <v>231.96</v>
          </cell>
        </row>
        <row r="57">
          <cell r="B57" t="str">
            <v>SBI Cards &amp; Payment Services</v>
          </cell>
          <cell r="C57">
            <v>19</v>
          </cell>
          <cell r="D57">
            <v>836.75</v>
          </cell>
        </row>
        <row r="58">
          <cell r="B58" t="str">
            <v>Spandana Sphoorty Financial</v>
          </cell>
          <cell r="C58">
            <v>521</v>
          </cell>
          <cell r="D58">
            <v>690.09</v>
          </cell>
        </row>
        <row r="59">
          <cell r="B59" t="str">
            <v>Tata Nifty India Digital ETF</v>
          </cell>
          <cell r="C59">
            <v>508</v>
          </cell>
          <cell r="D59">
            <v>86.35</v>
          </cell>
        </row>
        <row r="60">
          <cell r="B60" t="str">
            <v>TruCap Finance</v>
          </cell>
          <cell r="C60">
            <v>600</v>
          </cell>
          <cell r="D60">
            <v>49.01</v>
          </cell>
        </row>
        <row r="61">
          <cell r="B61" t="str">
            <v>Utkarsh Small Finance Bank</v>
          </cell>
          <cell r="C61">
            <v>7303</v>
          </cell>
          <cell r="D61">
            <v>42.58</v>
          </cell>
        </row>
        <row r="62">
          <cell r="B62" t="str">
            <v>Yes Bank</v>
          </cell>
          <cell r="C62">
            <v>2147</v>
          </cell>
          <cell r="D62">
            <v>22.4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atchlist"/>
    </sheetNames>
    <sheetDataSet>
      <sheetData sheetId="0">
        <row r="2">
          <cell r="B2" t="str">
            <v>AUTOIETF</v>
          </cell>
          <cell r="D2" t="str">
            <v>28.08</v>
          </cell>
        </row>
        <row r="3">
          <cell r="B3" t="str">
            <v>BANKIETF</v>
          </cell>
          <cell r="D3" t="str">
            <v>60.21</v>
          </cell>
        </row>
        <row r="4">
          <cell r="B4" t="str">
            <v>COMMOIETF</v>
          </cell>
          <cell r="D4" t="str">
            <v>94.25</v>
          </cell>
        </row>
        <row r="5">
          <cell r="B5" t="str">
            <v>CONSUMIETF</v>
          </cell>
          <cell r="D5" t="str">
            <v>128.07</v>
          </cell>
        </row>
        <row r="6">
          <cell r="B6" t="str">
            <v>CPSEETF</v>
          </cell>
          <cell r="D6" t="str">
            <v>93.09</v>
          </cell>
        </row>
        <row r="7">
          <cell r="B7" t="str">
            <v>ECAPINSURE</v>
          </cell>
          <cell r="D7" t="str">
            <v>24.19</v>
          </cell>
        </row>
        <row r="8">
          <cell r="B8" t="str">
            <v>EVINDIA</v>
          </cell>
          <cell r="D8" t="str">
            <v>31.30</v>
          </cell>
        </row>
        <row r="9">
          <cell r="B9" t="str">
            <v>FINIETF</v>
          </cell>
          <cell r="D9" t="str">
            <v>32.41</v>
          </cell>
        </row>
        <row r="10">
          <cell r="B10" t="str">
            <v>FMCGIETF</v>
          </cell>
          <cell r="D10" t="str">
            <v>59.13</v>
          </cell>
        </row>
        <row r="11">
          <cell r="B11" t="str">
            <v>GOLDIETF</v>
          </cell>
          <cell r="D11" t="str">
            <v>104.16</v>
          </cell>
        </row>
        <row r="12">
          <cell r="B12" t="str">
            <v>HEALTHIETF</v>
          </cell>
          <cell r="D12" t="str">
            <v>151.63</v>
          </cell>
        </row>
        <row r="13">
          <cell r="B13" t="str">
            <v>INFRAIETF</v>
          </cell>
          <cell r="D13" t="str">
            <v>98.93</v>
          </cell>
        </row>
        <row r="14">
          <cell r="B14" t="str">
            <v>ITIETF</v>
          </cell>
          <cell r="D14" t="str">
            <v>39.45</v>
          </cell>
        </row>
        <row r="15">
          <cell r="B15" t="str">
            <v>MAKEINDIA</v>
          </cell>
          <cell r="D15" t="str">
            <v>155.32</v>
          </cell>
        </row>
        <row r="16">
          <cell r="B16" t="str">
            <v>MASPTOP50</v>
          </cell>
          <cell r="D16" t="str">
            <v>68.88</v>
          </cell>
        </row>
        <row r="17">
          <cell r="B17" t="str">
            <v>METALIETF</v>
          </cell>
          <cell r="D17" t="str">
            <v>10.44</v>
          </cell>
        </row>
        <row r="18">
          <cell r="B18" t="str">
            <v>MIDCAPIETF</v>
          </cell>
          <cell r="D18" t="str">
            <v>22.99</v>
          </cell>
        </row>
        <row r="19">
          <cell r="B19" t="str">
            <v>MNC</v>
          </cell>
          <cell r="D19" t="str">
            <v>30.82</v>
          </cell>
        </row>
        <row r="20">
          <cell r="B20" t="str">
            <v>MODEFENCE</v>
          </cell>
          <cell r="D20" t="str">
            <v>90.40</v>
          </cell>
        </row>
        <row r="21">
          <cell r="B21" t="str">
            <v>MON100</v>
          </cell>
          <cell r="D21" t="str">
            <v>234.28</v>
          </cell>
        </row>
        <row r="22">
          <cell r="B22" t="str">
            <v>MONIFTY500</v>
          </cell>
          <cell r="D22" t="str">
            <v>24.24</v>
          </cell>
        </row>
        <row r="23">
          <cell r="B23" t="str">
            <v>MOREALTY</v>
          </cell>
          <cell r="D23" t="str">
            <v>92.88</v>
          </cell>
        </row>
        <row r="24">
          <cell r="B24" t="str">
            <v>MOSMALL250</v>
          </cell>
          <cell r="D24" t="str">
            <v>17.11</v>
          </cell>
        </row>
        <row r="25">
          <cell r="B25" t="str">
            <v>NIFTYIETF</v>
          </cell>
          <cell r="D25" t="str">
            <v>291.44</v>
          </cell>
        </row>
        <row r="26">
          <cell r="B26" t="str">
            <v>OILIETF</v>
          </cell>
          <cell r="D26" t="str">
            <v>12.35</v>
          </cell>
        </row>
        <row r="27">
          <cell r="B27" t="str">
            <v>PSUBNKIETF</v>
          </cell>
          <cell r="D27" t="str">
            <v>85.85</v>
          </cell>
        </row>
        <row r="28">
          <cell r="B28" t="str">
            <v>PVTBANIETF</v>
          </cell>
          <cell r="D28" t="str">
            <v>28.59</v>
          </cell>
        </row>
        <row r="29">
          <cell r="B29" t="str">
            <v>SENSEXIETF</v>
          </cell>
          <cell r="D29" t="str">
            <v>967.96</v>
          </cell>
        </row>
        <row r="30">
          <cell r="B30" t="str">
            <v>SILVERIETF</v>
          </cell>
          <cell r="D30" t="str">
            <v>152.56</v>
          </cell>
        </row>
        <row r="31">
          <cell r="B31" t="str">
            <v>TNIDETF</v>
          </cell>
          <cell r="D31" t="str">
            <v>96.83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D1ED-88A4-402D-8F82-419774D4C9BB}">
  <dimension ref="A1:F31"/>
  <sheetViews>
    <sheetView tabSelected="1" zoomScale="110" zoomScaleNormal="110" workbookViewId="0">
      <selection activeCell="D6" sqref="D6"/>
    </sheetView>
  </sheetViews>
  <sheetFormatPr baseColWidth="10" defaultColWidth="8.83203125" defaultRowHeight="15" x14ac:dyDescent="0.2"/>
  <cols>
    <col min="2" max="2" width="46.83203125" bestFit="1" customWidth="1"/>
    <col min="3" max="6" width="15.6640625" customWidth="1"/>
  </cols>
  <sheetData>
    <row r="1" spans="1:6" x14ac:dyDescent="0.2">
      <c r="A1" s="1" t="s">
        <v>29</v>
      </c>
      <c r="B1" s="1" t="s">
        <v>30</v>
      </c>
      <c r="C1" s="1" t="s">
        <v>32</v>
      </c>
      <c r="D1" s="1" t="s">
        <v>31</v>
      </c>
      <c r="E1" s="1" t="s">
        <v>64</v>
      </c>
      <c r="F1" s="1" t="s">
        <v>63</v>
      </c>
    </row>
    <row r="2" spans="1:6" x14ac:dyDescent="0.2">
      <c r="A2" s="2">
        <v>1</v>
      </c>
      <c r="B2" s="3" t="s">
        <v>4</v>
      </c>
      <c r="C2" s="3" t="s">
        <v>34</v>
      </c>
      <c r="D2" s="3">
        <f>LOOKUP(B2,'[1]Portfolio Summary Report'!$B$14:$B$62,'[1]Portfolio Summary Report'!$C$14:$C$62)</f>
        <v>2310</v>
      </c>
      <c r="E2" s="3">
        <f>LOOKUP(B2,'[1]Portfolio Summary Report'!$B$14:$B$62,'[1]Portfolio Summary Report'!$D$14:$D$62)</f>
        <v>22.6</v>
      </c>
      <c r="F2" s="3" t="str">
        <f>LOOKUP(C2,[2]Watchlist!$B$2:$B$31,[2]Watchlist!$D$2:$D$31)</f>
        <v>28.08</v>
      </c>
    </row>
    <row r="3" spans="1:6" x14ac:dyDescent="0.2">
      <c r="A3" s="2">
        <v>2</v>
      </c>
      <c r="B3" s="3" t="s">
        <v>5</v>
      </c>
      <c r="C3" s="3" t="s">
        <v>35</v>
      </c>
      <c r="D3" s="3">
        <f>LOOKUP(B3,'[1]Portfolio Summary Report'!$B$14:$B$62,'[1]Portfolio Summary Report'!$C$14:$C$62)</f>
        <v>795</v>
      </c>
      <c r="E3" s="3">
        <f>LOOKUP(B3,'[1]Portfolio Summary Report'!$B$14:$B$62,'[1]Portfolio Summary Report'!$D$14:$D$62)</f>
        <v>51.43</v>
      </c>
      <c r="F3" s="3" t="str">
        <f>LOOKUP(C3,[2]Watchlist!$B$2:$B$31,[2]Watchlist!$D$2:$D$31)</f>
        <v>60.21</v>
      </c>
    </row>
    <row r="4" spans="1:6" x14ac:dyDescent="0.2">
      <c r="A4" s="2">
        <v>3</v>
      </c>
      <c r="B4" s="3" t="s">
        <v>6</v>
      </c>
      <c r="C4" s="3" t="s">
        <v>39</v>
      </c>
      <c r="D4" s="3">
        <f>LOOKUP(B4,'[1]Portfolio Summary Report'!$B$14:$B$62,'[1]Portfolio Summary Report'!$C$14:$C$62)</f>
        <v>480</v>
      </c>
      <c r="E4" s="3">
        <f>LOOKUP(B4,'[1]Portfolio Summary Report'!$B$14:$B$62,'[1]Portfolio Summary Report'!$D$14:$D$62)</f>
        <v>80.8</v>
      </c>
      <c r="F4" s="3" t="str">
        <f>LOOKUP(C4,[2]Watchlist!$B$2:$B$31,[2]Watchlist!$D$2:$D$31)</f>
        <v>94.25</v>
      </c>
    </row>
    <row r="5" spans="1:6" x14ac:dyDescent="0.2">
      <c r="A5" s="2">
        <v>4</v>
      </c>
      <c r="B5" s="3" t="s">
        <v>7</v>
      </c>
      <c r="C5" s="3" t="s">
        <v>42</v>
      </c>
      <c r="D5" s="3">
        <f>LOOKUP(B5,'[1]Portfolio Summary Report'!$B$14:$B$62,'[1]Portfolio Summary Report'!$C$14:$C$62)</f>
        <v>355</v>
      </c>
      <c r="E5" s="3">
        <f>LOOKUP(B5,'[1]Portfolio Summary Report'!$B$14:$B$62,'[1]Portfolio Summary Report'!$D$14:$D$62)</f>
        <v>112.89</v>
      </c>
      <c r="F5" s="3" t="str">
        <f>LOOKUP(C5,[2]Watchlist!$B$2:$B$31,[2]Watchlist!$D$2:$D$31)</f>
        <v>128.07</v>
      </c>
    </row>
    <row r="6" spans="1:6" x14ac:dyDescent="0.2">
      <c r="A6" s="2">
        <v>5</v>
      </c>
      <c r="B6" s="3" t="s">
        <v>0</v>
      </c>
      <c r="C6" s="3" t="s">
        <v>65</v>
      </c>
      <c r="D6" s="3">
        <f>LOOKUP(B6,'[1]Portfolio Summary Report'!$B$14:$B$62,'[1]Portfolio Summary Report'!$C$14:$C$62)</f>
        <v>350</v>
      </c>
      <c r="E6" s="3">
        <f>LOOKUP(B6,'[1]Portfolio Summary Report'!$B$14:$B$62,'[1]Portfolio Summary Report'!$D$14:$D$62)</f>
        <v>83.77</v>
      </c>
      <c r="F6" s="3" t="str">
        <f>LOOKUP(C6,[2]Watchlist!$B$2:$B$31,[2]Watchlist!$D$2:$D$31)</f>
        <v>93.09</v>
      </c>
    </row>
    <row r="7" spans="1:6" x14ac:dyDescent="0.2">
      <c r="A7" s="2">
        <v>6</v>
      </c>
      <c r="B7" s="3" t="s">
        <v>1</v>
      </c>
      <c r="C7" s="3" t="s">
        <v>58</v>
      </c>
      <c r="D7" s="3">
        <f>LOOKUP(B7,'[1]Portfolio Summary Report'!$B$14:$B$62,'[1]Portfolio Summary Report'!$C$14:$C$62)</f>
        <v>922</v>
      </c>
      <c r="E7" s="3">
        <f>LOOKUP(B7,'[1]Portfolio Summary Report'!$B$14:$B$62,'[1]Portfolio Summary Report'!$D$14:$D$62)</f>
        <v>21.46</v>
      </c>
      <c r="F7" s="3" t="str">
        <f>LOOKUP(C7,[2]Watchlist!$B$2:$B$31,[2]Watchlist!$D$2:$D$31)</f>
        <v>24.19</v>
      </c>
    </row>
    <row r="8" spans="1:6" x14ac:dyDescent="0.2">
      <c r="A8" s="2">
        <v>7</v>
      </c>
      <c r="B8" s="3" t="s">
        <v>20</v>
      </c>
      <c r="C8" s="3" t="s">
        <v>51</v>
      </c>
      <c r="D8" s="3">
        <f>LOOKUP(B8,'[1]Portfolio Summary Report'!$B$14:$B$62,'[1]Portfolio Summary Report'!$C$14:$C$62)</f>
        <v>1359</v>
      </c>
      <c r="E8" s="3">
        <f>LOOKUP(B8,'[1]Portfolio Summary Report'!$B$14:$B$62,'[1]Portfolio Summary Report'!$D$14:$D$62)</f>
        <v>27.37</v>
      </c>
      <c r="F8" s="3" t="str">
        <f>LOOKUP(C8,[2]Watchlist!$B$2:$B$31,[2]Watchlist!$D$2:$D$31)</f>
        <v>31.30</v>
      </c>
    </row>
    <row r="9" spans="1:6" x14ac:dyDescent="0.2">
      <c r="A9" s="2">
        <v>8</v>
      </c>
      <c r="B9" s="3" t="s">
        <v>8</v>
      </c>
      <c r="C9" s="3" t="s">
        <v>43</v>
      </c>
      <c r="D9" s="3">
        <f>LOOKUP(B9,'[1]Portfolio Summary Report'!$B$14:$B$62,'[1]Portfolio Summary Report'!$C$14:$C$62)</f>
        <v>1568</v>
      </c>
      <c r="E9" s="3">
        <f>LOOKUP(B9,'[1]Portfolio Summary Report'!$B$14:$B$62,'[1]Portfolio Summary Report'!$D$14:$D$62)</f>
        <v>25.92</v>
      </c>
      <c r="F9" s="3" t="str">
        <f>LOOKUP(C9,[2]Watchlist!$B$2:$B$31,[2]Watchlist!$D$2:$D$31)</f>
        <v>32.41</v>
      </c>
    </row>
    <row r="10" spans="1:6" x14ac:dyDescent="0.2">
      <c r="A10" s="2">
        <v>9</v>
      </c>
      <c r="B10" s="3" t="s">
        <v>9</v>
      </c>
      <c r="C10" s="3" t="s">
        <v>37</v>
      </c>
      <c r="D10" s="3">
        <f>LOOKUP(B10,'[1]Portfolio Summary Report'!$B$14:$B$62,'[1]Portfolio Summary Report'!$C$14:$C$62)</f>
        <v>387</v>
      </c>
      <c r="E10" s="3">
        <f>LOOKUP(B10,'[1]Portfolio Summary Report'!$B$14:$B$62,'[1]Portfolio Summary Report'!$D$14:$D$62)</f>
        <v>56.9</v>
      </c>
      <c r="F10" s="3" t="str">
        <f>LOOKUP(C10,[2]Watchlist!$B$2:$B$31,[2]Watchlist!$D$2:$D$31)</f>
        <v>59.13</v>
      </c>
    </row>
    <row r="11" spans="1:6" x14ac:dyDescent="0.2">
      <c r="A11" s="2">
        <v>10</v>
      </c>
      <c r="B11" s="3" t="s">
        <v>62</v>
      </c>
      <c r="C11" s="3" t="s">
        <v>61</v>
      </c>
      <c r="D11" s="3">
        <f>LOOKUP(B11,'[1]Portfolio Summary Report'!$B$14:$B$62,'[1]Portfolio Summary Report'!$C$14:$C$62)</f>
        <v>114</v>
      </c>
      <c r="E11" s="3">
        <f>LOOKUP(B11,'[1]Portfolio Summary Report'!$B$14:$B$62,'[1]Portfolio Summary Report'!$D$14:$D$62)</f>
        <v>84.69</v>
      </c>
      <c r="F11" s="3" t="str">
        <f>LOOKUP(C11,[2]Watchlist!$B$2:$B$31,[2]Watchlist!$D$2:$D$31)</f>
        <v>104.16</v>
      </c>
    </row>
    <row r="12" spans="1:6" x14ac:dyDescent="0.2">
      <c r="A12" s="2">
        <v>11</v>
      </c>
      <c r="B12" s="3" t="s">
        <v>10</v>
      </c>
      <c r="C12" s="3" t="s">
        <v>55</v>
      </c>
      <c r="D12" s="3">
        <f>LOOKUP(B12,'[1]Portfolio Summary Report'!$B$14:$B$62,'[1]Portfolio Summary Report'!$C$14:$C$62)</f>
        <v>133</v>
      </c>
      <c r="E12" s="3">
        <f>LOOKUP(B12,'[1]Portfolio Summary Report'!$B$14:$B$62,'[1]Portfolio Summary Report'!$D$14:$D$62)</f>
        <v>138.41999999999999</v>
      </c>
      <c r="F12" s="3" t="str">
        <f>LOOKUP(C12,[2]Watchlist!$B$2:$B$31,[2]Watchlist!$D$2:$D$31)</f>
        <v>151.63</v>
      </c>
    </row>
    <row r="13" spans="1:6" x14ac:dyDescent="0.2">
      <c r="A13" s="2">
        <v>12</v>
      </c>
      <c r="B13" s="3" t="s">
        <v>11</v>
      </c>
      <c r="C13" s="3" t="s">
        <v>38</v>
      </c>
      <c r="D13" s="3">
        <f>LOOKUP(B13,'[1]Portfolio Summary Report'!$B$14:$B$62,'[1]Portfolio Summary Report'!$C$14:$C$62)</f>
        <v>504</v>
      </c>
      <c r="E13" s="3">
        <f>LOOKUP(B13,'[1]Portfolio Summary Report'!$B$14:$B$62,'[1]Portfolio Summary Report'!$D$14:$D$62)</f>
        <v>85.73</v>
      </c>
      <c r="F13" s="3" t="str">
        <f>LOOKUP(C13,[2]Watchlist!$B$2:$B$31,[2]Watchlist!$D$2:$D$31)</f>
        <v>98.93</v>
      </c>
    </row>
    <row r="14" spans="1:6" x14ac:dyDescent="0.2">
      <c r="A14" s="2">
        <v>13</v>
      </c>
      <c r="B14" s="3" t="s">
        <v>12</v>
      </c>
      <c r="C14" s="3" t="s">
        <v>56</v>
      </c>
      <c r="D14" s="3">
        <f>LOOKUP(B14,'[1]Portfolio Summary Report'!$B$14:$B$62,'[1]Portfolio Summary Report'!$C$14:$C$62)</f>
        <v>989</v>
      </c>
      <c r="E14" s="3">
        <f>LOOKUP(B14,'[1]Portfolio Summary Report'!$B$14:$B$62,'[1]Portfolio Summary Report'!$D$14:$D$62)</f>
        <v>38.26</v>
      </c>
      <c r="F14" s="3" t="str">
        <f>LOOKUP(C14,[2]Watchlist!$B$2:$B$31,[2]Watchlist!$D$2:$D$31)</f>
        <v>39.45</v>
      </c>
    </row>
    <row r="15" spans="1:6" x14ac:dyDescent="0.2">
      <c r="A15" s="2">
        <v>14</v>
      </c>
      <c r="B15" s="3" t="s">
        <v>21</v>
      </c>
      <c r="C15" s="3" t="s">
        <v>46</v>
      </c>
      <c r="D15" s="3">
        <f>LOOKUP(B15,'[1]Portfolio Summary Report'!$B$14:$B$62,'[1]Portfolio Summary Report'!$C$14:$C$62)</f>
        <v>252</v>
      </c>
      <c r="E15" s="3">
        <f>LOOKUP(B15,'[1]Portfolio Summary Report'!$B$14:$B$62,'[1]Portfolio Summary Report'!$D$14:$D$62)</f>
        <v>131.75</v>
      </c>
      <c r="F15" s="3" t="str">
        <f>LOOKUP(C15,[2]Watchlist!$B$2:$B$31,[2]Watchlist!$D$2:$D$31)</f>
        <v>155.32</v>
      </c>
    </row>
    <row r="16" spans="1:6" x14ac:dyDescent="0.2">
      <c r="A16" s="2">
        <v>15</v>
      </c>
      <c r="B16" s="3" t="s">
        <v>22</v>
      </c>
      <c r="C16" s="3" t="s">
        <v>59</v>
      </c>
      <c r="D16" s="3">
        <f>LOOKUP(B16,'[1]Portfolio Summary Report'!$B$14:$B$62,'[1]Portfolio Summary Report'!$C$14:$C$62)</f>
        <v>385</v>
      </c>
      <c r="E16" s="3">
        <f>LOOKUP(B16,'[1]Portfolio Summary Report'!$B$14:$B$62,'[1]Portfolio Summary Report'!$D$14:$D$62)</f>
        <v>49.51</v>
      </c>
      <c r="F16" s="3" t="str">
        <f>LOOKUP(C16,[2]Watchlist!$B$2:$B$31,[2]Watchlist!$D$2:$D$31)</f>
        <v>68.88</v>
      </c>
    </row>
    <row r="17" spans="1:6" x14ac:dyDescent="0.2">
      <c r="A17" s="2">
        <v>16</v>
      </c>
      <c r="B17" s="3" t="s">
        <v>13</v>
      </c>
      <c r="C17" s="3" t="s">
        <v>40</v>
      </c>
      <c r="D17" s="3">
        <f>LOOKUP(B17,'[1]Portfolio Summary Report'!$B$14:$B$62,'[1]Portfolio Summary Report'!$C$14:$C$62)</f>
        <v>2116</v>
      </c>
      <c r="E17" s="3">
        <f>LOOKUP(B17,'[1]Portfolio Summary Report'!$B$14:$B$62,'[1]Portfolio Summary Report'!$D$14:$D$62)</f>
        <v>9.07</v>
      </c>
      <c r="F17" s="3" t="str">
        <f>LOOKUP(C17,[2]Watchlist!$B$2:$B$31,[2]Watchlist!$D$2:$D$31)</f>
        <v>10.44</v>
      </c>
    </row>
    <row r="18" spans="1:6" x14ac:dyDescent="0.2">
      <c r="A18" s="2">
        <v>17</v>
      </c>
      <c r="B18" s="3" t="s">
        <v>14</v>
      </c>
      <c r="C18" s="3" t="s">
        <v>41</v>
      </c>
      <c r="D18" s="3">
        <f>LOOKUP(B18,'[1]Portfolio Summary Report'!$B$14:$B$62,'[1]Portfolio Summary Report'!$C$14:$C$62)</f>
        <v>2148</v>
      </c>
      <c r="E18" s="3">
        <f>LOOKUP(B18,'[1]Portfolio Summary Report'!$B$14:$B$62,'[1]Portfolio Summary Report'!$D$14:$D$62)</f>
        <v>20.07</v>
      </c>
      <c r="F18" s="3" t="str">
        <f>LOOKUP(C18,[2]Watchlist!$B$2:$B$31,[2]Watchlist!$D$2:$D$31)</f>
        <v>22.99</v>
      </c>
    </row>
    <row r="19" spans="1:6" x14ac:dyDescent="0.2">
      <c r="A19" s="2">
        <v>18</v>
      </c>
      <c r="B19" s="3" t="s">
        <v>19</v>
      </c>
      <c r="C19" s="3" t="s">
        <v>45</v>
      </c>
      <c r="D19" s="3">
        <f>LOOKUP(B19,'[1]Portfolio Summary Report'!$B$14:$B$62,'[1]Portfolio Summary Report'!$C$14:$C$62)</f>
        <v>1988</v>
      </c>
      <c r="E19" s="3">
        <f>LOOKUP(B19,'[1]Portfolio Summary Report'!$B$14:$B$62,'[1]Portfolio Summary Report'!$D$14:$D$62)</f>
        <v>27.37</v>
      </c>
      <c r="F19" s="3" t="str">
        <f>LOOKUP(C19,[2]Watchlist!$B$2:$B$31,[2]Watchlist!$D$2:$D$31)</f>
        <v>30.82</v>
      </c>
    </row>
    <row r="20" spans="1:6" x14ac:dyDescent="0.2">
      <c r="A20" s="2">
        <v>19</v>
      </c>
      <c r="B20" s="3" t="s">
        <v>25</v>
      </c>
      <c r="C20" s="3" t="s">
        <v>52</v>
      </c>
      <c r="D20" s="3">
        <f>LOOKUP(B20,'[1]Portfolio Summary Report'!$B$14:$B$62,'[1]Portfolio Summary Report'!$C$14:$C$62)</f>
        <v>314</v>
      </c>
      <c r="E20" s="3">
        <f>LOOKUP(B20,'[1]Portfolio Summary Report'!$B$14:$B$62,'[1]Portfolio Summary Report'!$D$14:$D$62)</f>
        <v>69.650000000000006</v>
      </c>
      <c r="F20" s="3" t="str">
        <f>LOOKUP(C20,[2]Watchlist!$B$2:$B$31,[2]Watchlist!$D$2:$D$31)</f>
        <v>90.40</v>
      </c>
    </row>
    <row r="21" spans="1:6" x14ac:dyDescent="0.2">
      <c r="A21" s="2">
        <v>20</v>
      </c>
      <c r="B21" s="3" t="s">
        <v>23</v>
      </c>
      <c r="C21" s="3" t="s">
        <v>57</v>
      </c>
      <c r="D21" s="3">
        <f>LOOKUP(B21,'[1]Portfolio Summary Report'!$B$14:$B$62,'[1]Portfolio Summary Report'!$C$14:$C$62)</f>
        <v>220</v>
      </c>
      <c r="E21" s="3">
        <f>LOOKUP(B21,'[1]Portfolio Summary Report'!$B$14:$B$62,'[1]Portfolio Summary Report'!$D$14:$D$62)</f>
        <v>174.53</v>
      </c>
      <c r="F21" s="3" t="str">
        <f>LOOKUP(C21,[2]Watchlist!$B$2:$B$31,[2]Watchlist!$D$2:$D$31)</f>
        <v>234.28</v>
      </c>
    </row>
    <row r="22" spans="1:6" x14ac:dyDescent="0.2">
      <c r="A22" s="2">
        <v>21</v>
      </c>
      <c r="B22" s="3" t="s">
        <v>24</v>
      </c>
      <c r="C22" s="3" t="s">
        <v>47</v>
      </c>
      <c r="D22" s="3">
        <f>LOOKUP(B22,'[1]Portfolio Summary Report'!$B$14:$B$62,'[1]Portfolio Summary Report'!$C$14:$C$62)</f>
        <v>1679</v>
      </c>
      <c r="E22" s="3">
        <f>LOOKUP(B22,'[1]Portfolio Summary Report'!$B$14:$B$62,'[1]Portfolio Summary Report'!$D$14:$D$62)</f>
        <v>22</v>
      </c>
      <c r="F22" s="3" t="str">
        <f>LOOKUP(C22,[2]Watchlist!$B$2:$B$31,[2]Watchlist!$D$2:$D$31)</f>
        <v>24.24</v>
      </c>
    </row>
    <row r="23" spans="1:6" x14ac:dyDescent="0.2">
      <c r="A23" s="2">
        <v>22</v>
      </c>
      <c r="B23" s="3" t="s">
        <v>26</v>
      </c>
      <c r="C23" s="3" t="s">
        <v>50</v>
      </c>
      <c r="D23" s="3">
        <f>LOOKUP(B23,'[1]Portfolio Summary Report'!$B$14:$B$62,'[1]Portfolio Summary Report'!$C$14:$C$62)</f>
        <v>383</v>
      </c>
      <c r="E23" s="3">
        <f>LOOKUP(B23,'[1]Portfolio Summary Report'!$B$14:$B$62,'[1]Portfolio Summary Report'!$D$14:$D$62)</f>
        <v>85.75</v>
      </c>
      <c r="F23" s="3" t="str">
        <f>LOOKUP(C23,[2]Watchlist!$B$2:$B$31,[2]Watchlist!$D$2:$D$31)</f>
        <v>92.88</v>
      </c>
    </row>
    <row r="24" spans="1:6" x14ac:dyDescent="0.2">
      <c r="A24" s="2">
        <v>23</v>
      </c>
      <c r="B24" s="3" t="s">
        <v>27</v>
      </c>
      <c r="C24" s="3" t="s">
        <v>54</v>
      </c>
      <c r="D24" s="3">
        <f>LOOKUP(B24,'[1]Portfolio Summary Report'!$B$14:$B$62,'[1]Portfolio Summary Report'!$C$14:$C$62)</f>
        <v>1649</v>
      </c>
      <c r="E24" s="3">
        <f>LOOKUP(B24,'[1]Portfolio Summary Report'!$B$14:$B$62,'[1]Portfolio Summary Report'!$D$14:$D$62)</f>
        <v>15.62</v>
      </c>
      <c r="F24" s="3" t="str">
        <f>LOOKUP(C24,[2]Watchlist!$B$2:$B$31,[2]Watchlist!$D$2:$D$31)</f>
        <v>17.11</v>
      </c>
    </row>
    <row r="25" spans="1:6" x14ac:dyDescent="0.2">
      <c r="A25" s="2">
        <v>24</v>
      </c>
      <c r="B25" s="3" t="s">
        <v>3</v>
      </c>
      <c r="C25" s="3" t="s">
        <v>48</v>
      </c>
      <c r="D25" s="3">
        <f>LOOKUP(B25,'[1]Portfolio Summary Report'!$B$14:$B$62,'[1]Portfolio Summary Report'!$C$14:$C$62)</f>
        <v>129</v>
      </c>
      <c r="E25" s="3">
        <f>LOOKUP(B25,'[1]Portfolio Summary Report'!$B$14:$B$62,'[1]Portfolio Summary Report'!$D$14:$D$62)</f>
        <v>261.92</v>
      </c>
      <c r="F25" s="3" t="str">
        <f>LOOKUP(C25,[2]Watchlist!$B$2:$B$31,[2]Watchlist!$D$2:$D$31)</f>
        <v>291.44</v>
      </c>
    </row>
    <row r="26" spans="1:6" x14ac:dyDescent="0.2">
      <c r="A26" s="2">
        <v>25</v>
      </c>
      <c r="B26" s="3" t="s">
        <v>15</v>
      </c>
      <c r="C26" s="3" t="s">
        <v>53</v>
      </c>
      <c r="D26" s="3">
        <f>LOOKUP(B26,'[1]Portfolio Summary Report'!$B$14:$B$62,'[1]Portfolio Summary Report'!$C$14:$C$62)</f>
        <v>3401</v>
      </c>
      <c r="E26" s="3">
        <f>LOOKUP(B26,'[1]Portfolio Summary Report'!$B$14:$B$62,'[1]Portfolio Summary Report'!$D$14:$D$62)</f>
        <v>10.87</v>
      </c>
      <c r="F26" s="3" t="str">
        <f>LOOKUP(C26,[2]Watchlist!$B$2:$B$31,[2]Watchlist!$D$2:$D$31)</f>
        <v>12.35</v>
      </c>
    </row>
    <row r="27" spans="1:6" x14ac:dyDescent="0.2">
      <c r="A27" s="2">
        <v>26</v>
      </c>
      <c r="B27" s="3" t="s">
        <v>17</v>
      </c>
      <c r="C27" s="3" t="s">
        <v>33</v>
      </c>
      <c r="D27" s="3">
        <f>LOOKUP(B27,'[1]Portfolio Summary Report'!$B$14:$B$62,'[1]Portfolio Summary Report'!$C$14:$C$62)</f>
        <v>671</v>
      </c>
      <c r="E27" s="3">
        <f>LOOKUP(B27,'[1]Portfolio Summary Report'!$B$14:$B$62,'[1]Portfolio Summary Report'!$D$14:$D$62)</f>
        <v>62.6</v>
      </c>
      <c r="F27" s="3" t="str">
        <f>LOOKUP(C27,[2]Watchlist!$B$2:$B$31,[2]Watchlist!$D$2:$D$31)</f>
        <v>85.85</v>
      </c>
    </row>
    <row r="28" spans="1:6" x14ac:dyDescent="0.2">
      <c r="A28" s="2">
        <v>27</v>
      </c>
      <c r="B28" s="3" t="s">
        <v>16</v>
      </c>
      <c r="C28" s="3" t="s">
        <v>44</v>
      </c>
      <c r="D28" s="3">
        <f>LOOKUP(B28,'[1]Portfolio Summary Report'!$B$14:$B$62,'[1]Portfolio Summary Report'!$C$14:$C$62)</f>
        <v>1719</v>
      </c>
      <c r="E28" s="3">
        <f>LOOKUP(B28,'[1]Portfolio Summary Report'!$B$14:$B$62,'[1]Portfolio Summary Report'!$D$14:$D$62)</f>
        <v>25.27</v>
      </c>
      <c r="F28" s="3" t="str">
        <f>LOOKUP(C28,[2]Watchlist!$B$2:$B$31,[2]Watchlist!$D$2:$D$31)</f>
        <v>28.59</v>
      </c>
    </row>
    <row r="29" spans="1:6" x14ac:dyDescent="0.2">
      <c r="A29" s="2">
        <v>28</v>
      </c>
      <c r="B29" s="3" t="s">
        <v>2</v>
      </c>
      <c r="C29" s="3" t="s">
        <v>36</v>
      </c>
      <c r="D29" s="3">
        <f>LOOKUP(B29,'[1]Portfolio Summary Report'!$B$14:$B$62,'[1]Portfolio Summary Report'!$C$14:$C$62)</f>
        <v>43</v>
      </c>
      <c r="E29" s="3">
        <f>LOOKUP(B29,'[1]Portfolio Summary Report'!$B$14:$B$62,'[1]Portfolio Summary Report'!$D$14:$D$62)</f>
        <v>868.84</v>
      </c>
      <c r="F29" s="3" t="str">
        <f>LOOKUP(C29,[2]Watchlist!$B$2:$B$31,[2]Watchlist!$D$2:$D$31)</f>
        <v>967.96</v>
      </c>
    </row>
    <row r="30" spans="1:6" x14ac:dyDescent="0.2">
      <c r="A30" s="2">
        <v>29</v>
      </c>
      <c r="B30" s="3" t="s">
        <v>18</v>
      </c>
      <c r="C30" s="3" t="s">
        <v>60</v>
      </c>
      <c r="D30" s="3">
        <f>LOOKUP(B30,'[1]Portfolio Summary Report'!$B$14:$B$62,'[1]Portfolio Summary Report'!$C$14:$C$62)</f>
        <v>103</v>
      </c>
      <c r="E30" s="3">
        <f>LOOKUP(B30,'[1]Portfolio Summary Report'!$B$14:$B$62,'[1]Portfolio Summary Report'!$D$14:$D$62)</f>
        <v>103.31</v>
      </c>
      <c r="F30" s="3" t="str">
        <f>LOOKUP(C30,[2]Watchlist!$B$2:$B$31,[2]Watchlist!$D$2:$D$31)</f>
        <v>152.56</v>
      </c>
    </row>
    <row r="31" spans="1:6" x14ac:dyDescent="0.2">
      <c r="A31" s="2">
        <v>30</v>
      </c>
      <c r="B31" s="3" t="s">
        <v>28</v>
      </c>
      <c r="C31" s="3" t="s">
        <v>49</v>
      </c>
      <c r="D31" s="3">
        <f>LOOKUP(B31,'[1]Portfolio Summary Report'!$B$14:$B$62,'[1]Portfolio Summary Report'!$C$14:$C$62)</f>
        <v>508</v>
      </c>
      <c r="E31" s="3">
        <f>LOOKUP(B31,'[1]Portfolio Summary Report'!$B$14:$B$62,'[1]Portfolio Summary Report'!$D$14:$D$62)</f>
        <v>86.35</v>
      </c>
      <c r="F31" s="3" t="str">
        <f>LOOKUP(C31,[2]Watchlist!$B$2:$B$31,[2]Watchlist!$D$2:$D$31)</f>
        <v>96.83</v>
      </c>
    </row>
  </sheetData>
  <autoFilter ref="B1:F31" xr:uid="{8098D1ED-88A4-402D-8F82-419774D4C9B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Manthan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 Patel</dc:creator>
  <cp:lastModifiedBy>Manthan Patel</cp:lastModifiedBy>
  <dcterms:created xsi:type="dcterms:W3CDTF">2025-03-04T09:49:23Z</dcterms:created>
  <dcterms:modified xsi:type="dcterms:W3CDTF">2025-11-25T16:53:04Z</dcterms:modified>
</cp:coreProperties>
</file>